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UAT Cases" sheetId="2" state="visible" r:id="rId2"/>
    <sheet xmlns:r="http://schemas.openxmlformats.org/officeDocument/2006/relationships" name="Vendor Questionnaire" sheetId="3" state="visible" r:id="rId3"/>
    <sheet xmlns:r="http://schemas.openxmlformats.org/officeDocument/2006/relationships" name="Field Confirmation" sheetId="4" state="visible" r:id="rId4"/>
    <sheet xmlns:r="http://schemas.openxmlformats.org/officeDocument/2006/relationships" name="Reconciliation Log" sheetId="5" state="visible" r:id="rId5"/>
    <sheet xmlns:r="http://schemas.openxmlformats.org/officeDocument/2006/relationships" name="Acceptance"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name val="Arial"/>
      <b val="1"/>
      <color rgb="001B4F72"/>
      <sz val="18"/>
    </font>
    <font>
      <name val="Arial"/>
      <color rgb="005B6B7B"/>
      <sz val="10"/>
    </font>
    <font>
      <name val="Arial"/>
      <b val="1"/>
      <color rgb="001B4F72"/>
      <sz val="11"/>
    </font>
    <font>
      <name val="Arial"/>
      <color rgb="001F2933"/>
      <sz val="10"/>
    </font>
    <font>
      <name val="Arial"/>
      <sz val="10"/>
    </font>
    <font>
      <name val="Arial"/>
      <b val="1"/>
      <color rgb="001B4F72"/>
      <sz val="16"/>
    </font>
    <font>
      <name val="Arial"/>
      <b val="1"/>
      <color rgb="00FFFFFF"/>
      <sz val="9"/>
    </font>
    <font>
      <name val="Arial"/>
      <color rgb="005B6B7B"/>
      <sz val="9"/>
    </font>
    <font>
      <name val="Arial"/>
      <i val="1"/>
      <color rgb="005B6B7B"/>
      <sz val="9"/>
    </font>
    <font>
      <name val="Arial"/>
      <b val="1"/>
      <color rgb="001F2933"/>
      <sz val="9"/>
    </font>
    <font>
      <name val="Arial"/>
      <color rgb="001F2933"/>
      <sz val="9"/>
    </font>
    <font>
      <name val="Arial"/>
      <b val="1"/>
      <color rgb="00B32020"/>
      <sz val="9"/>
    </font>
    <font>
      <name val="Arial"/>
      <b val="1"/>
      <sz val="10"/>
    </font>
    <font>
      <name val="Arial"/>
      <b val="1"/>
      <color rgb="001E7B34"/>
      <sz val="10"/>
    </font>
    <font>
      <name val="Arial"/>
      <b val="1"/>
      <color rgb="00B32020"/>
      <sz val="10"/>
    </font>
    <font>
      <name val="Arial"/>
      <b val="1"/>
      <color rgb="00B32020"/>
      <sz val="11"/>
    </font>
    <font>
      <name val="Arial"/>
      <color rgb="005B6B7B"/>
      <sz val="8"/>
    </font>
    <font>
      <name val="Arial"/>
      <b val="1"/>
      <color rgb="001E7B34"/>
      <sz val="11"/>
    </font>
    <font>
      <name val="Arial"/>
      <b val="1"/>
      <color rgb="00B32020"/>
      <sz val="12"/>
    </font>
  </fonts>
  <fills count="7">
    <fill>
      <patternFill/>
    </fill>
    <fill>
      <patternFill patternType="gray125"/>
    </fill>
    <fill>
      <patternFill patternType="solid">
        <fgColor rgb="00FFF7CC"/>
      </patternFill>
    </fill>
    <fill>
      <patternFill patternType="solid">
        <fgColor rgb="00FDE2E1"/>
      </patternFill>
    </fill>
    <fill>
      <patternFill patternType="solid">
        <fgColor rgb="001B4F72"/>
      </patternFill>
    </fill>
    <fill>
      <patternFill patternType="solid">
        <fgColor rgb="00F2F4F6"/>
      </patternFill>
    </fill>
    <fill>
      <patternFill patternType="solid">
        <fgColor rgb="00EAF1F7"/>
      </patternFill>
    </fill>
  </fills>
  <borders count="6">
    <border>
      <left/>
      <right/>
      <top/>
      <bottom/>
      <diagonal/>
    </border>
    <border>
      <left style="thin">
        <color rgb="00C7D2DC"/>
      </left>
      <right style="thin">
        <color rgb="00C7D2DC"/>
      </right>
      <top style="thin">
        <color rgb="00C7D2DC"/>
      </top>
      <bottom style="thin">
        <color rgb="00C7D2DC"/>
      </bottom>
    </border>
    <border>
      <left/>
      <right/>
      <top style="thin">
        <color rgb="00C7D2DC"/>
      </top>
      <bottom/>
      <diagonal/>
    </border>
    <border>
      <left/>
      <right style="thin">
        <color rgb="00C7D2DC"/>
      </right>
      <top style="thin">
        <color rgb="00C7D2DC"/>
      </top>
      <bottom/>
      <diagonal/>
    </border>
    <border>
      <left/>
      <right/>
      <top style="thin">
        <color rgb="00C7D2DC"/>
      </top>
      <bottom style="thin">
        <color rgb="00C7D2DC"/>
      </bottom>
      <diagonal/>
    </border>
    <border>
      <left/>
      <right style="thin">
        <color rgb="00C7D2DC"/>
      </right>
      <top style="thin">
        <color rgb="00C7D2DC"/>
      </top>
      <bottom style="thin">
        <color rgb="00C7D2DC"/>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2" borderId="0" pivotButton="0" quotePrefix="0" xfId="0"/>
    <xf numFmtId="0" fontId="5" fillId="3" borderId="0" pivotButton="0" quotePrefix="0" xfId="0"/>
    <xf numFmtId="0" fontId="6" fillId="0" borderId="0" pivotButton="0" quotePrefix="0" xfId="0"/>
    <xf numFmtId="0" fontId="2" fillId="0" borderId="0" applyAlignment="1" pivotButton="0" quotePrefix="0" xfId="0">
      <alignment vertical="top" wrapText="1"/>
    </xf>
    <xf numFmtId="0" fontId="7" fillId="4" borderId="1" applyAlignment="1" pivotButton="0" quotePrefix="0" xfId="0">
      <alignment horizontal="center" vertical="center" wrapText="1"/>
    </xf>
    <xf numFmtId="0" fontId="9" fillId="5" borderId="1" applyAlignment="1" pivotButton="0" quotePrefix="0" xfId="0">
      <alignment horizontal="left" vertical="top" wrapText="1"/>
    </xf>
    <xf numFmtId="0" fontId="10" fillId="6" borderId="1" applyAlignment="1" pivotButton="0" quotePrefix="0" xfId="0">
      <alignment horizontal="center" vertical="top" wrapText="1"/>
    </xf>
    <xf numFmtId="0" fontId="11" fillId="6" borderId="1" applyAlignment="1" pivotButton="0" quotePrefix="0" xfId="0">
      <alignment horizontal="center" vertical="top" wrapText="1"/>
    </xf>
    <xf numFmtId="0" fontId="11" fillId="6" borderId="1" applyAlignment="1" pivotButton="0" quotePrefix="0" xfId="0">
      <alignment horizontal="left" vertical="top" wrapText="1"/>
    </xf>
    <xf numFmtId="0" fontId="11" fillId="2" borderId="1" applyAlignment="1" pivotButton="0" quotePrefix="0" xfId="0">
      <alignment horizontal="left" vertical="top" wrapText="1"/>
    </xf>
    <xf numFmtId="164" fontId="11" fillId="2" borderId="1" applyAlignment="1" pivotButton="0" quotePrefix="0" xfId="0">
      <alignment horizontal="left" vertical="top" wrapText="1"/>
    </xf>
    <xf numFmtId="0" fontId="10" fillId="0"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3" borderId="1" applyAlignment="1" pivotButton="0" quotePrefix="0" xfId="0">
      <alignment horizontal="center" vertical="top" wrapText="1"/>
    </xf>
    <xf numFmtId="0" fontId="11" fillId="3" borderId="1" applyAlignment="1" pivotButton="0" quotePrefix="0" xfId="0">
      <alignment horizontal="center" vertical="top"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9" fillId="5" borderId="1" applyAlignment="1" pivotButton="0" quotePrefix="0" xfId="0">
      <alignment horizontal="center" vertical="top" wrapText="1"/>
    </xf>
    <xf numFmtId="0" fontId="10" fillId="3" borderId="1" applyAlignment="1" pivotButton="0" quotePrefix="0" xfId="0">
      <alignment horizontal="center" vertical="top" wrapText="1"/>
    </xf>
    <xf numFmtId="0" fontId="17" fillId="6" borderId="1" applyAlignment="1" pivotButton="0" quotePrefix="0" xfId="0">
      <alignment horizontal="left" vertical="top" wrapText="1"/>
    </xf>
    <xf numFmtId="0" fontId="10" fillId="6" borderId="1" applyAlignment="1" pivotButton="0" quotePrefix="0" xfId="0">
      <alignment horizontal="left" vertical="top" wrapText="1"/>
    </xf>
    <xf numFmtId="0" fontId="11" fillId="2" borderId="1" applyAlignment="1" pivotButton="0" quotePrefix="0" xfId="0">
      <alignment horizontal="center" vertical="top" wrapText="1"/>
    </xf>
    <xf numFmtId="0" fontId="17" fillId="0" borderId="1" applyAlignment="1" pivotButton="0" quotePrefix="0" xfId="0">
      <alignment horizontal="left" vertical="top" wrapText="1"/>
    </xf>
    <xf numFmtId="0" fontId="10" fillId="0" borderId="1" applyAlignment="1" pivotButton="0" quotePrefix="0" xfId="0">
      <alignment horizontal="left" vertical="top" wrapText="1"/>
    </xf>
    <xf numFmtId="164" fontId="9" fillId="5" borderId="1" applyAlignment="1" pivotButton="0" quotePrefix="0" xfId="0">
      <alignment horizontal="left" vertical="top" wrapText="1"/>
    </xf>
    <xf numFmtId="164" fontId="11" fillId="2" borderId="1" applyAlignment="1" pivotButton="0" quotePrefix="0" xfId="0">
      <alignment horizontal="center" vertical="top" wrapText="1"/>
    </xf>
    <xf numFmtId="0" fontId="18" fillId="0" borderId="0" pivotButton="0" quotePrefix="0" xfId="0"/>
    <xf numFmtId="0" fontId="9" fillId="0" borderId="0" applyAlignment="1" pivotButton="0" quotePrefix="0" xfId="0">
      <alignment vertical="top" wrapText="1"/>
    </xf>
    <xf numFmtId="0" fontId="19" fillId="0" borderId="0" pivotButton="0" quotePrefix="0" xfId="0"/>
    <xf numFmtId="0" fontId="0" fillId="2"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12" customWidth="1" min="2" max="2"/>
  </cols>
  <sheetData>
    <row r="2">
      <c r="B2" s="1" t="inlineStr">
        <is>
          <t>HRX × CentroVision — Telephony Integration UAT</t>
        </is>
      </c>
    </row>
    <row r="3">
      <c r="B3" s="2" t="inlineStr">
        <is>
          <t>Hi Tech Group · hrx.hitechgroup.in · CentroVision 3.0 dialer / GSM gateway</t>
        </is>
      </c>
    </row>
    <row r="5">
      <c r="B5" s="3" t="inlineStr">
        <is>
          <t>What this workbook is</t>
        </is>
      </c>
    </row>
    <row r="6" ht="42" customHeight="1">
      <c r="B6" s="4" t="inlineStr">
        <is>
          <t>The evidence file for the integration. Nothing is accepted on a verbal 'yes, it works' — every case here is run with both sides present and countersigned. Attach the Postman run report as evidence where a case names one.</t>
        </is>
      </c>
    </row>
    <row r="8">
      <c r="B8" s="3" t="inlineStr">
        <is>
          <t>The five tabs</t>
        </is>
      </c>
    </row>
    <row r="9" ht="28" customHeight="1">
      <c r="B9" s="4" t="inlineStr">
        <is>
          <t>UAT Cases — The 20 scenarios. Run them in order; do not accept a phase until its cases pass.</t>
        </is>
      </c>
    </row>
    <row r="10" ht="28" customHeight="1">
      <c r="B10" s="4" t="inlineStr">
        <is>
          <t>Vendor Questionnaire — The 15 questions CentroVision answers IN WRITING before the SOW is signed. Vague answers here become change requests later.</t>
        </is>
      </c>
    </row>
    <row r="11" ht="28" customHeight="1">
      <c r="B11" s="4" t="inlineStr">
        <is>
          <t>Field Confirmation — Field by field, what CentroVision can and cannot supply. Anything marked No or Partial must be agreed before UAT, not discovered during it.</t>
        </is>
      </c>
    </row>
    <row r="12" ht="28" customHeight="1">
      <c r="B12" s="4" t="inlineStr">
        <is>
          <t>Reconciliation Log — Seven consecutive days at a zero gap. This is the single best long-term health metric.</t>
        </is>
      </c>
    </row>
    <row r="13" ht="28" customHeight="1">
      <c r="B13" s="4" t="inlineStr">
        <is>
          <t>Acceptance — The final checklist. Do not sign off without every line green.</t>
        </is>
      </c>
    </row>
    <row r="15">
      <c r="B15" s="3" t="inlineStr">
        <is>
          <t>How to fill it in</t>
        </is>
      </c>
    </row>
    <row r="16" ht="42" customHeight="1">
      <c r="B16" s="4" t="inlineStr">
        <is>
          <t>Yellow cells are yours to fill in. Everything else is reference — leave it alone. Each table has one worked example row, shown in grey italics, purely to show the expected format; overwrite or delete it.</t>
        </is>
      </c>
    </row>
    <row r="18">
      <c r="B18" s="3" t="inlineStr">
        <is>
          <t>The one case that decides everything</t>
        </is>
      </c>
    </row>
    <row r="19" ht="42" customHeight="1">
      <c r="B19" s="4" t="inlineStr">
        <is>
          <t>UAT-05 — a call dialled directly on the handset — is a GO / NO-GO item. Most integrations of this kind fail not because the API is wrong but because the vendor only reports calls that started with an API request, while half the floor dials manually. If UAT-05 does not pass, the reports will be wrong in week one and trust in the system will not recover. Do not sign off around it.</t>
        </is>
      </c>
    </row>
    <row r="21">
      <c r="B21" s="3" t="inlineStr">
        <is>
          <t>Endpoint under test</t>
        </is>
      </c>
    </row>
    <row r="22" ht="42" customHeight="1">
      <c r="B22" s="4" t="inlineStr">
        <is>
          <t>POST https://hrx.hitechgroup.in/api/telephony/v1/events   (UAT: hrx-uat.hitechgroup.in)</t>
        </is>
      </c>
    </row>
    <row r="23" ht="42" customHeight="1">
      <c r="B23" s="4" t="inlineStr">
        <is>
          <t>Companion files: hrms-telephony-webhook-v1.yaml · centrovision-required-v1.yaml · HRX-Telephony.postman_collection.json</t>
        </is>
      </c>
    </row>
    <row r="25">
      <c r="B25" s="5" t="inlineStr">
        <is>
          <t>Legend</t>
        </is>
      </c>
    </row>
    <row r="26">
      <c r="B26" s="6" t="inlineStr">
        <is>
          <t xml:space="preserve">      You fill this in</t>
        </is>
      </c>
    </row>
    <row r="27">
      <c r="B27" s="7" t="inlineStr">
        <is>
          <t xml:space="preserve">      Go / no-go — the integration does not ship without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0" workbookViewId="0">
      <pane ySplit="4" topLeftCell="A5" activePane="bottomLeft" state="frozen"/>
      <selection pane="bottomLeft" activeCell="A1" sqref="A1"/>
    </sheetView>
  </sheetViews>
  <sheetFormatPr baseColWidth="8" defaultRowHeight="15"/>
  <cols>
    <col width="9" customWidth="1" min="1" max="1"/>
    <col width="8" customWidth="1" min="2" max="2"/>
    <col width="30" customWidth="1" min="3" max="3"/>
    <col width="40" customWidth="1" min="4" max="4"/>
    <col width="40" customWidth="1" min="5" max="5"/>
    <col width="30" customWidth="1" min="6" max="6"/>
    <col width="11" customWidth="1" min="7" max="7"/>
    <col width="24" customWidth="1" min="8" max="8"/>
    <col width="16" customWidth="1" min="9" max="9"/>
    <col width="12" customWidth="1" min="10" max="10"/>
  </cols>
  <sheetData>
    <row r="1" ht="22" customHeight="1">
      <c r="A1" s="8" t="inlineStr">
        <is>
          <t>UAT Cases</t>
        </is>
      </c>
    </row>
    <row r="2" ht="26" customHeight="1">
      <c r="A2" s="9" t="inlineStr">
        <is>
          <t>Run in order. Both sides present. Countersign each row. UAT-05 is go / no-go — yellow columns are yours to complete.</t>
        </is>
      </c>
    </row>
    <row r="4" ht="34" customHeight="1">
      <c r="A4" s="10" t="inlineStr">
        <is>
          <t>ID</t>
        </is>
      </c>
      <c r="B4" s="10" t="inlineStr">
        <is>
          <t>Phase</t>
        </is>
      </c>
      <c r="C4" s="10" t="inlineStr">
        <is>
          <t>Scenario</t>
        </is>
      </c>
      <c r="D4" s="10" t="inlineStr">
        <is>
          <t>How to run it</t>
        </is>
      </c>
      <c r="E4" s="10" t="inlineStr">
        <is>
          <t>Expected in HRX</t>
        </is>
      </c>
      <c r="F4" s="10" t="inlineStr">
        <is>
          <t>Expected on CentroVision</t>
        </is>
      </c>
      <c r="G4" s="10" t="inlineStr">
        <is>
          <t>Result</t>
        </is>
      </c>
      <c r="H4" s="10" t="inlineStr">
        <is>
          <t>Evidence</t>
        </is>
      </c>
      <c r="I4" s="10" t="inlineStr">
        <is>
          <t>Tested by</t>
        </is>
      </c>
      <c r="J4" s="10" t="inlineStr">
        <is>
          <t>Date</t>
        </is>
      </c>
    </row>
    <row r="5">
      <c r="A5" s="11" t="inlineStr">
        <is>
          <t>UAT-00</t>
        </is>
      </c>
      <c r="B5" s="11" t="inlineStr">
        <is>
          <t>—</t>
        </is>
      </c>
      <c r="C5" s="11" t="inlineStr">
        <is>
          <t>Worked example — delete this row</t>
        </is>
      </c>
      <c r="D5" s="11" t="inlineStr">
        <is>
          <t>Shows the expected format only.</t>
        </is>
      </c>
      <c r="E5" s="11" t="inlineStr">
        <is>
          <t>—</t>
        </is>
      </c>
      <c r="F5" s="11" t="inlineStr">
        <is>
          <t>—</t>
        </is>
      </c>
      <c r="G5" s="11" t="inlineStr">
        <is>
          <t>Pass</t>
        </is>
      </c>
      <c r="H5" s="11" t="inlineStr">
        <is>
          <t>Postman run 2026-08-21</t>
        </is>
      </c>
      <c r="I5" s="11" t="inlineStr">
        <is>
          <t>N. Kumar / R. Sharma</t>
        </is>
      </c>
      <c r="J5" s="11" t="inlineStr">
        <is>
          <t>2026-08-21</t>
        </is>
      </c>
    </row>
    <row r="6" ht="46" customHeight="1">
      <c r="A6" s="12" t="inlineStr">
        <is>
          <t>UAT-01</t>
        </is>
      </c>
      <c r="B6" s="13" t="inlineStr">
        <is>
          <t>1</t>
        </is>
      </c>
      <c r="C6" s="14" t="inlineStr">
        <is>
          <t>Signed health check</t>
        </is>
      </c>
      <c r="D6" s="14" t="inlineStr">
        <is>
          <t>Run Postman request 1.1 against the UAT host.</t>
        </is>
      </c>
      <c r="E6" s="14" t="inlineStr">
        <is>
          <t>200 with api_version v1. Clock skew under 300s.</t>
        </is>
      </c>
      <c r="F6" s="14" t="inlineStr">
        <is>
          <t>n/a — this proves your key, secret, clock and IP allowlist at once.</t>
        </is>
      </c>
      <c r="G6" s="15" t="n"/>
      <c r="H6" s="15" t="n"/>
      <c r="I6" s="15" t="n"/>
      <c r="J6" s="16" t="n"/>
    </row>
    <row r="7" ht="46" customHeight="1">
      <c r="A7" s="17" t="inlineStr">
        <is>
          <t>UAT-02</t>
        </is>
      </c>
      <c r="B7" s="18" t="inlineStr">
        <is>
          <t>2</t>
        </is>
      </c>
      <c r="C7" s="19" t="inlineStr">
        <is>
          <t>Outbound answered call via click-to-call</t>
        </is>
      </c>
      <c r="D7" s="19" t="inlineStr">
        <is>
          <t>Dial from the HRX Click to Call button. Let the customer answer, talk ~30s, agent hangs up.</t>
        </is>
      </c>
      <c r="E7" s="19" t="inlineStr">
        <is>
          <t>One call row. ref_id matches the click. Every timestamp populated, talk_seconds within 2s of the dialer.</t>
        </is>
      </c>
      <c r="F7" s="19" t="inlineStr">
        <is>
          <t>CDR row with the same RID/UID as HRX's call_uid.</t>
        </is>
      </c>
      <c r="G7" s="15" t="n"/>
      <c r="H7" s="15" t="n"/>
      <c r="I7" s="15" t="n"/>
      <c r="J7" s="16" t="n"/>
    </row>
    <row r="8" ht="46" customHeight="1">
      <c r="A8" s="12" t="inlineStr">
        <is>
          <t>UAT-03</t>
        </is>
      </c>
      <c r="B8" s="13" t="inlineStr">
        <is>
          <t>2</t>
        </is>
      </c>
      <c r="C8" s="14" t="inlineStr">
        <is>
          <t>Outbound, customer does not answer</t>
        </is>
      </c>
      <c r="D8" s="14" t="inlineStr">
        <is>
          <t>Dial a number that rings out.</t>
        </is>
      </c>
      <c r="E8" s="14" t="inlineStr">
        <is>
          <t>status = no_answer, customer_ring_seconds populated, talk_seconds 0.</t>
        </is>
      </c>
      <c r="F8" s="14" t="inlineStr">
        <is>
          <t>CDR shows Ringing - No Answer.</t>
        </is>
      </c>
      <c r="G8" s="15" t="n"/>
      <c r="H8" s="15" t="n"/>
      <c r="I8" s="15" t="n"/>
      <c r="J8" s="16" t="n"/>
    </row>
    <row r="9" ht="46" customHeight="1">
      <c r="A9" s="17" t="inlineStr">
        <is>
          <t>UAT-04</t>
        </is>
      </c>
      <c r="B9" s="18" t="inlineStr">
        <is>
          <t>2</t>
        </is>
      </c>
      <c r="C9" s="19" t="inlineStr">
        <is>
          <t>Outbound, customer busy</t>
        </is>
      </c>
      <c r="D9" s="19" t="inlineStr">
        <is>
          <t>Dial a number that is engaged.</t>
        </is>
      </c>
      <c r="E9" s="19" t="inlineStr">
        <is>
          <t>status = busy. Call still recorded, not dropped.</t>
        </is>
      </c>
      <c r="F9" s="19" t="inlineStr">
        <is>
          <t>CDR shows Busy.</t>
        </is>
      </c>
      <c r="G9" s="15" t="n"/>
      <c r="H9" s="15" t="n"/>
      <c r="I9" s="15" t="n"/>
      <c r="J9" s="16" t="n"/>
    </row>
    <row r="10" ht="58" customHeight="1">
      <c r="A10" s="20" t="inlineStr">
        <is>
          <t>UAT-05</t>
        </is>
      </c>
      <c r="B10" s="21" t="inlineStr">
        <is>
          <t>3</t>
        </is>
      </c>
      <c r="C10" s="22" t="inlineStr">
        <is>
          <t>MANUAL DIAL ON THE HANDSET — GO / NO-GO</t>
        </is>
      </c>
      <c r="D10" s="23" t="inlineStr">
        <is>
          <t>Agent dials a number directly on the handset or SIM, NOT through HRX. Let it answer.</t>
        </is>
      </c>
      <c r="E10" s="23" t="inlineStr">
        <is>
          <t>A call row appears with origin = manual_dial, ref_id null, resolved to the right employee from the extension or SIM alone. It must NOT land on the exceptions screen.</t>
        </is>
      </c>
      <c r="F10" s="23" t="inlineStr">
        <is>
          <t>CDR row exists exactly as for an API call.</t>
        </is>
      </c>
      <c r="G10" s="15" t="n"/>
      <c r="H10" s="15" t="n"/>
      <c r="I10" s="15" t="n"/>
      <c r="J10" s="16" t="n"/>
    </row>
    <row r="11" ht="46" customHeight="1">
      <c r="A11" s="17" t="inlineStr">
        <is>
          <t>UAT-06</t>
        </is>
      </c>
      <c r="B11" s="18" t="inlineStr">
        <is>
          <t>3</t>
        </is>
      </c>
      <c r="C11" s="19" t="inlineStr">
        <is>
          <t>Inbound call answered</t>
        </is>
      </c>
      <c r="D11" s="19" t="inlineStr">
        <is>
          <t>Call the DID from an outside phone; an agent answers.</t>
        </is>
      </c>
      <c r="E11" s="19" t="inlineStr">
        <is>
          <t>origin = inbound, direction = inbound, queue_wait_seconds populated.</t>
        </is>
      </c>
      <c r="F11" s="19" t="inlineStr">
        <is>
          <t>CDR + queue report agree.</t>
        </is>
      </c>
      <c r="G11" s="15" t="n"/>
      <c r="H11" s="15" t="n"/>
      <c r="I11" s="15" t="n"/>
      <c r="J11" s="16" t="n"/>
    </row>
    <row r="12" ht="46" customHeight="1">
      <c r="A12" s="12" t="inlineStr">
        <is>
          <t>UAT-07</t>
        </is>
      </c>
      <c r="B12" s="13" t="inlineStr">
        <is>
          <t>3</t>
        </is>
      </c>
      <c r="C12" s="14" t="inlineStr">
        <is>
          <t>IVR call, caller abandons in the IVR</t>
        </is>
      </c>
      <c r="D12" s="14" t="inlineStr">
        <is>
          <t>Call the DID and hang up while still in the IVR.</t>
        </is>
      </c>
      <c r="E12" s="14" t="inlineStr">
        <is>
          <t>ivr.abandoned event. status = abandoned. initiated_at present so the day's count includes it.</t>
        </is>
      </c>
      <c r="F12" s="14" t="inlineStr">
        <is>
          <t>IVR Abandon report shows the call.</t>
        </is>
      </c>
      <c r="G12" s="15" t="n"/>
      <c r="H12" s="15" t="n"/>
      <c r="I12" s="15" t="n"/>
      <c r="J12" s="16" t="n"/>
    </row>
    <row r="13" ht="46" customHeight="1">
      <c r="A13" s="17" t="inlineStr">
        <is>
          <t>UAT-08</t>
        </is>
      </c>
      <c r="B13" s="18" t="inlineStr">
        <is>
          <t>3</t>
        </is>
      </c>
      <c r="C13" s="19" t="inlineStr">
        <is>
          <t>Queue abandon</t>
        </is>
      </c>
      <c r="D13" s="19" t="inlineStr">
        <is>
          <t>Call in, wait in queue, hang up before an agent answers.</t>
        </is>
      </c>
      <c r="E13" s="19" t="inlineStr">
        <is>
          <t>queue.abandoned with wait_seconds. Counted in the day's totals.</t>
        </is>
      </c>
      <c r="F13" s="19" t="inlineStr">
        <is>
          <t>Abandon summary shows it.</t>
        </is>
      </c>
      <c r="G13" s="15" t="n"/>
      <c r="H13" s="15" t="n"/>
      <c r="I13" s="15" t="n"/>
      <c r="J13" s="16" t="n"/>
    </row>
    <row r="14" ht="46" customHeight="1">
      <c r="A14" s="12" t="inlineStr">
        <is>
          <t>UAT-09</t>
        </is>
      </c>
      <c r="B14" s="13" t="inlineStr">
        <is>
          <t>2</t>
        </is>
      </c>
      <c r="C14" s="14" t="inlineStr">
        <is>
          <t>Agent does not pick up their own leg</t>
        </is>
      </c>
      <c r="D14" s="14" t="inlineStr">
        <is>
          <t>Trigger a click-to-call and let the AGENT leg ring out.</t>
        </is>
      </c>
      <c r="E14" s="14" t="inlineStr">
        <is>
          <t>agent_ring_seconds populated; the call is not reported as a customer no-answer.</t>
        </is>
      </c>
      <c r="F14" s="14" t="inlineStr">
        <is>
          <t>CDR distinguishes agent no-pick from customer no-answer.</t>
        </is>
      </c>
      <c r="G14" s="15" t="n"/>
      <c r="H14" s="15" t="n"/>
      <c r="I14" s="15" t="n"/>
      <c r="J14" s="16" t="n"/>
    </row>
    <row r="15" ht="46" customHeight="1">
      <c r="A15" s="17" t="inlineStr">
        <is>
          <t>UAT-10</t>
        </is>
      </c>
      <c r="B15" s="18" t="inlineStr">
        <is>
          <t>6</t>
        </is>
      </c>
      <c r="C15" s="19" t="inlineStr">
        <is>
          <t>Blind transfer</t>
        </is>
      </c>
      <c r="D15" s="19" t="inlineStr">
        <is>
          <t>Answer a call, blind-transfer to another extension.</t>
        </is>
      </c>
      <c r="E15" s="19" t="inlineStr">
        <is>
          <t>was_transferred true; a transfer leg linked by child_call_uid.</t>
        </is>
      </c>
      <c r="F15" s="19" t="inlineStr">
        <is>
          <t>Call Transfer report + TL recording.</t>
        </is>
      </c>
      <c r="G15" s="15" t="n"/>
      <c r="H15" s="15" t="n"/>
      <c r="I15" s="15" t="n"/>
      <c r="J15" s="16" t="n"/>
    </row>
    <row r="16" ht="46" customHeight="1">
      <c r="A16" s="12" t="inlineStr">
        <is>
          <t>UAT-11</t>
        </is>
      </c>
      <c r="B16" s="13" t="inlineStr">
        <is>
          <t>6</t>
        </is>
      </c>
      <c r="C16" s="14" t="inlineStr">
        <is>
          <t>Attended transfer</t>
        </is>
      </c>
      <c r="D16" s="14" t="inlineStr">
        <is>
          <t>Answer, consult the second agent, then complete the transfer.</t>
        </is>
      </c>
      <c r="E16" s="14" t="inlineStr">
        <is>
          <t>Transfer leg with type = attended and consult_seconds.</t>
        </is>
      </c>
      <c r="F16" s="14" t="inlineStr">
        <is>
          <t>Call Transfer report shows the consult.</t>
        </is>
      </c>
      <c r="G16" s="15" t="n"/>
      <c r="H16" s="15" t="n"/>
      <c r="I16" s="15" t="n"/>
      <c r="J16" s="16" t="n"/>
    </row>
    <row r="17" ht="46" customHeight="1">
      <c r="A17" s="17" t="inlineStr">
        <is>
          <t>UAT-12</t>
        </is>
      </c>
      <c r="B17" s="18" t="inlineStr">
        <is>
          <t>6</t>
        </is>
      </c>
      <c r="C17" s="19" t="inlineStr">
        <is>
          <t>Three-way conference</t>
        </is>
      </c>
      <c r="D17" s="19" t="inlineStr">
        <is>
          <t>Answer a call, conference in a supervisor.</t>
        </is>
      </c>
      <c r="E17" s="19" t="inlineStr">
        <is>
          <t>was_conferenced true; a conference leg listing all three participants.</t>
        </is>
      </c>
      <c r="F17" s="19" t="inlineStr">
        <is>
          <t>Conference Logs + CF recording.</t>
        </is>
      </c>
      <c r="G17" s="15" t="n"/>
      <c r="H17" s="15" t="n"/>
      <c r="I17" s="15" t="n"/>
      <c r="J17" s="16" t="n"/>
    </row>
    <row r="18" ht="46" customHeight="1">
      <c r="A18" s="12" t="inlineStr">
        <is>
          <t>UAT-13</t>
        </is>
      </c>
      <c r="B18" s="13" t="inlineStr">
        <is>
          <t>6</t>
        </is>
      </c>
      <c r="C18" s="14" t="inlineStr">
        <is>
          <t>Call forwarding</t>
        </is>
      </c>
      <c r="D18" s="14" t="inlineStr">
        <is>
          <t>Configure no-answer forwarding and let a call forward.</t>
        </is>
      </c>
      <c r="E18" s="14" t="inlineStr">
        <is>
          <t>call.forwarded with from/to and a child leg. The call must stay assigned to its employee.</t>
        </is>
      </c>
      <c r="F18" s="14" t="inlineStr">
        <is>
          <t>Forwarding report shows it.</t>
        </is>
      </c>
      <c r="G18" s="15" t="n"/>
      <c r="H18" s="15" t="n"/>
      <c r="I18" s="15" t="n"/>
      <c r="J18" s="16" t="n"/>
    </row>
    <row r="19" ht="46" customHeight="1">
      <c r="A19" s="17" t="inlineStr">
        <is>
          <t>UAT-14</t>
        </is>
      </c>
      <c r="B19" s="18" t="inlineStr">
        <is>
          <t>6</t>
        </is>
      </c>
      <c r="C19" s="19" t="inlineStr">
        <is>
          <t>Hold and resume</t>
        </is>
      </c>
      <c r="D19" s="19" t="inlineStr">
        <is>
          <t>Answer a call, hold ~20s, resume, hang up.</t>
        </is>
      </c>
      <c r="E19" s="19" t="inlineStr">
        <is>
          <t>hold_seconds populated. talk_seconds EXCLUDES the hold.</t>
        </is>
      </c>
      <c r="F19" s="19" t="inlineStr">
        <is>
          <t>CDR hold time matches.</t>
        </is>
      </c>
      <c r="G19" s="15" t="n"/>
      <c r="H19" s="15" t="n"/>
      <c r="I19" s="15" t="n"/>
      <c r="J19" s="16" t="n"/>
    </row>
    <row r="20" ht="46" customHeight="1">
      <c r="A20" s="12" t="inlineStr">
        <is>
          <t>UAT-15</t>
        </is>
      </c>
      <c r="B20" s="13" t="inlineStr">
        <is>
          <t>4</t>
        </is>
      </c>
      <c r="C20" s="14" t="inlineStr">
        <is>
          <t>Recording playback, permitted user</t>
        </is>
      </c>
      <c r="D20" s="14" t="inlineStr">
        <is>
          <t>As the agent who made the call, press play in HRX.</t>
        </is>
      </c>
      <c r="E20" s="14" t="inlineStr">
        <is>
          <t>Audio plays and seeks. The signed URL never reaches the browser. An access-log row is written.</t>
        </is>
      </c>
      <c r="F20" s="14" t="inlineStr">
        <is>
          <t>Signed URL expires within 300s.</t>
        </is>
      </c>
      <c r="G20" s="15" t="n"/>
      <c r="H20" s="15" t="n"/>
      <c r="I20" s="15" t="n"/>
      <c r="J20" s="16" t="n"/>
    </row>
    <row r="21" ht="46" customHeight="1">
      <c r="A21" s="17" t="inlineStr">
        <is>
          <t>UAT-16</t>
        </is>
      </c>
      <c r="B21" s="18" t="inlineStr">
        <is>
          <t>4</t>
        </is>
      </c>
      <c r="C21" s="19" t="inlineStr">
        <is>
          <t>Recording playback, NOT permitted</t>
        </is>
      </c>
      <c r="D21" s="19" t="inlineStr">
        <is>
          <t>As an unrelated employee, try to play the same recording.</t>
        </is>
      </c>
      <c r="E21" s="19" t="inlineStr">
        <is>
          <t>Refused. A denied row is written to the access log.</t>
        </is>
      </c>
      <c r="F21" s="19" t="inlineStr">
        <is>
          <t>n/a</t>
        </is>
      </c>
      <c r="G21" s="15" t="n"/>
      <c r="H21" s="15" t="n"/>
      <c r="I21" s="15" t="n"/>
      <c r="J21" s="16" t="n"/>
    </row>
    <row r="22" ht="46" customHeight="1">
      <c r="A22" s="12" t="inlineStr">
        <is>
          <t>UAT-17</t>
        </is>
      </c>
      <c r="B22" s="13" t="inlineStr">
        <is>
          <t>5</t>
        </is>
      </c>
      <c r="C22" s="14" t="inlineStr">
        <is>
          <t>Agent session totals</t>
        </is>
      </c>
      <c r="D22" s="14" t="inlineStr">
        <is>
          <t>Agent logs in, works a shift with at least one break, logs out.</t>
        </is>
      </c>
      <c r="E22" s="14" t="inlineStr">
        <is>
          <t>Daily productivity shows login, active, talk, hold, wrap, idle, break and occupancy.</t>
        </is>
      </c>
      <c r="F22" s="14" t="inlineStr">
        <is>
          <t>Figures match the User Session report EXACTLY.</t>
        </is>
      </c>
      <c r="G22" s="15" t="n"/>
      <c r="H22" s="15" t="n"/>
      <c r="I22" s="15" t="n"/>
      <c r="J22" s="16" t="n"/>
    </row>
    <row r="23" ht="46" customHeight="1">
      <c r="A23" s="17" t="inlineStr">
        <is>
          <t>UAT-18</t>
        </is>
      </c>
      <c r="B23" s="18" t="inlineStr">
        <is>
          <t>5</t>
        </is>
      </c>
      <c r="C23" s="19" t="inlineStr">
        <is>
          <t>Logout mid-call</t>
        </is>
      </c>
      <c r="D23" s="19" t="inlineStr">
        <is>
          <t>Agent logs out of the dialer while still on a call.</t>
        </is>
      </c>
      <c r="E23" s="19" t="inlineStr">
        <is>
          <t>The call still completes with a CDR. The session closes without corrupting totals.</t>
        </is>
      </c>
      <c r="F23" s="19" t="inlineStr">
        <is>
          <t>User Session report agrees.</t>
        </is>
      </c>
      <c r="G23" s="15" t="n"/>
      <c r="H23" s="15" t="n"/>
      <c r="I23" s="15" t="n"/>
      <c r="J23" s="16" t="n"/>
    </row>
    <row r="24" ht="46" customHeight="1">
      <c r="A24" s="12" t="inlineStr">
        <is>
          <t>UAT-19</t>
        </is>
      </c>
      <c r="B24" s="13" t="inlineStr">
        <is>
          <t>8</t>
        </is>
      </c>
      <c r="C24" s="14" t="inlineStr">
        <is>
          <t>Ten-minute HRX outage — the failure drill</t>
        </is>
      </c>
      <c r="D24" s="14" t="inlineStr">
        <is>
          <t>Deliberately take HRX down for 10 minutes during business hours. Keep making calls. Bring it back.</t>
        </is>
      </c>
      <c r="E24" s="14" t="inlineStr">
        <is>
          <t>EVERY call made during the outage arrives — via retry, /events/batch, or the nightly reconciliation. Zero permanently lost.</t>
        </is>
      </c>
      <c r="F24" s="14" t="inlineStr">
        <is>
          <t>Your retry queue drains.</t>
        </is>
      </c>
      <c r="G24" s="15" t="n"/>
      <c r="H24" s="15" t="n"/>
      <c r="I24" s="15" t="n"/>
      <c r="J24" s="16" t="n"/>
    </row>
    <row r="25" ht="46" customHeight="1">
      <c r="A25" s="17" t="inlineStr">
        <is>
          <t>UAT-20</t>
        </is>
      </c>
      <c r="B25" s="18" t="inlineStr">
        <is>
          <t>1</t>
        </is>
      </c>
      <c r="C25" s="19" t="inlineStr">
        <is>
          <t>The negatives — security must hold</t>
        </is>
      </c>
      <c r="D25" s="19" t="inlineStr">
        <is>
          <t>Run Postman folder 5 (forged signature, replayed event, stale timestamp, malformed body, wrong key).</t>
        </is>
      </c>
      <c r="E25" s="19" t="inlineStr">
        <is>
          <t>401 / 200-duplicate / 401 / 422 / 401. No record is created by any of them.</t>
        </is>
      </c>
      <c r="F25" s="19" t="inlineStr">
        <is>
          <t>n/a — attach the Postman run report.</t>
        </is>
      </c>
      <c r="G25" s="15" t="n"/>
      <c r="H25" s="15" t="n"/>
      <c r="I25" s="15" t="n"/>
      <c r="J25" s="16" t="n"/>
    </row>
    <row r="27">
      <c r="C27" s="24" t="inlineStr">
        <is>
          <t>Passed</t>
        </is>
      </c>
      <c r="D27" s="25">
        <f>COUNTIF(G6:G25,"Pass")</f>
        <v/>
      </c>
    </row>
    <row r="28">
      <c r="C28" s="24" t="inlineStr">
        <is>
          <t>Failed / blocked</t>
        </is>
      </c>
      <c r="D28" s="26">
        <f>COUNTIF(G6:G25,"Fail")+COUNTIF(G6:G25,"Blocked")</f>
        <v/>
      </c>
    </row>
    <row r="29">
      <c r="C29" s="24" t="inlineStr">
        <is>
          <t>Total cases</t>
        </is>
      </c>
      <c r="D29" s="24" t="n">
        <v>20</v>
      </c>
    </row>
    <row r="31">
      <c r="C31" s="27">
        <f>IF(G10="Pass","UAT-05 PASSED — manual dial is reported","UAT-05 NOT PASSED — DO NOT SIGN OFF")</f>
        <v/>
      </c>
    </row>
  </sheetData>
  <mergeCells count="3">
    <mergeCell ref="A1:J1"/>
    <mergeCell ref="C31:F31"/>
    <mergeCell ref="A2:J2"/>
  </mergeCells>
  <dataValidations count="1">
    <dataValidation sqref="G6 G7 G8 G9 G10 G11 G12 G13 G14 G15 G16 G17 G18 G19 G20 G21 G22 G23 G24 G25" showDropDown="0" showInputMessage="0" showErrorMessage="0" allowBlank="1" error="Choose Pass, Fail, Blocked or Not run."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5" customWidth="1" min="1" max="1"/>
    <col width="62" customWidth="1" min="2" max="2"/>
    <col width="50" customWidth="1" min="3" max="3"/>
    <col width="20" customWidth="1" min="4" max="4"/>
    <col width="13" customWidth="1" min="5" max="5"/>
  </cols>
  <sheetData>
    <row r="1" ht="22" customHeight="1">
      <c r="A1" s="8" t="inlineStr">
        <is>
          <t>Vendor Questionnaire</t>
        </is>
      </c>
    </row>
    <row r="2" ht="26" customHeight="1">
      <c r="A2" s="9" t="inlineStr">
        <is>
          <t>Send as a numbered list; ask for numbered answers in writing. A vague answer here becomes a change request later.</t>
        </is>
      </c>
    </row>
    <row r="4" ht="34" customHeight="1">
      <c r="A4" s="10" t="inlineStr">
        <is>
          <t>#</t>
        </is>
      </c>
      <c r="B4" s="10" t="inlineStr">
        <is>
          <t>Question</t>
        </is>
      </c>
      <c r="C4" s="10" t="inlineStr">
        <is>
          <t>CentroVision's answer</t>
        </is>
      </c>
      <c r="D4" s="10" t="inlineStr">
        <is>
          <t>Answered by</t>
        </is>
      </c>
      <c r="E4" s="10" t="inlineStr">
        <is>
          <t>Date</t>
        </is>
      </c>
    </row>
    <row r="5">
      <c r="A5" s="28" t="inlineStr">
        <is>
          <t>0</t>
        </is>
      </c>
      <c r="B5" s="11" t="inlineStr">
        <is>
          <t>Worked example — delete this row</t>
        </is>
      </c>
      <c r="C5" s="11" t="inlineStr">
        <is>
          <t>Yes, all six paths raise webhooks.</t>
        </is>
      </c>
      <c r="D5" s="11" t="inlineStr">
        <is>
          <t>A. Vendor</t>
        </is>
      </c>
      <c r="E5" s="11" t="inlineStr">
        <is>
          <t>2026-08-25</t>
        </is>
      </c>
    </row>
    <row r="6" ht="34" customHeight="1">
      <c r="A6" s="12" t="n">
        <v>1</v>
      </c>
      <c r="B6" s="14" t="inlineStr">
        <is>
          <t>Your current API documentation, in full, including how authentication works.</t>
        </is>
      </c>
      <c r="C6" s="15" t="n"/>
      <c r="D6" s="15" t="n"/>
      <c r="E6" s="16" t="n"/>
    </row>
    <row r="7" ht="34" customHeight="1">
      <c r="A7" s="17" t="n">
        <v>2</v>
      </c>
      <c r="B7" s="19" t="inlineStr">
        <is>
          <t>A UAT or sandbox gateway, or an agreed test window on the production one.</t>
        </is>
      </c>
      <c r="C7" s="15" t="n"/>
      <c r="D7" s="15" t="n"/>
      <c r="E7" s="16" t="n"/>
    </row>
    <row r="8" ht="34" customHeight="1">
      <c r="A8" s="12" t="n">
        <v>3</v>
      </c>
      <c r="B8" s="14" t="inlineStr">
        <is>
          <t>Field by field against the Field Confirmation tab: what can you supply, and what can you not?</t>
        </is>
      </c>
      <c r="C8" s="15" t="n"/>
      <c r="D8" s="15" t="n"/>
      <c r="E8" s="16" t="n"/>
    </row>
    <row r="9" ht="34" customHeight="1">
      <c r="A9" s="29" t="n">
        <v>4</v>
      </c>
      <c r="B9" s="22" t="inlineStr">
        <is>
          <t>Confirm that manual, inbound, IVR, predictive, callback and forwarded calls ALL raise webhooks — not only API-originated calls. (This is UAT-05.)</t>
        </is>
      </c>
      <c r="C9" s="15" t="n"/>
      <c r="D9" s="15" t="n"/>
      <c r="E9" s="16" t="n"/>
    </row>
    <row r="10" ht="34" customHeight="1">
      <c r="A10" s="12" t="n">
        <v>5</v>
      </c>
      <c r="B10" s="14" t="inlineStr">
        <is>
          <t>Can you echo an arbitrary ref_id and custom variables through to the CDR?</t>
        </is>
      </c>
      <c r="C10" s="15" t="n"/>
      <c r="D10" s="15" t="n"/>
      <c r="E10" s="16" t="n"/>
    </row>
    <row r="11" ht="34" customHeight="1">
      <c r="A11" s="17" t="n">
        <v>6</v>
      </c>
      <c r="B11" s="19" t="inlineStr">
        <is>
          <t>Your fixed public egress IP, for the allowlist.</t>
        </is>
      </c>
      <c r="C11" s="15" t="n"/>
      <c r="D11" s="15" t="n"/>
      <c r="E11" s="16" t="n"/>
    </row>
    <row r="12" ht="34" customHeight="1">
      <c r="A12" s="12" t="n">
        <v>7</v>
      </c>
      <c r="B12" s="14" t="inlineStr">
        <is>
          <t>Can you compute the HMAC signature as specified? If not, exactly what scheme can you do?</t>
        </is>
      </c>
      <c r="C12" s="15" t="n"/>
      <c r="D12" s="15" t="n"/>
      <c r="E12" s="16" t="n"/>
    </row>
    <row r="13" ht="34" customHeight="1">
      <c r="A13" s="17" t="n">
        <v>8</v>
      </c>
      <c r="B13" s="19" t="inlineStr">
        <is>
          <t>Your retry behaviour on 5xx — do you retry at all, how many times, over how long?</t>
        </is>
      </c>
      <c r="C13" s="15" t="n"/>
      <c r="D13" s="15" t="n"/>
      <c r="E13" s="16" t="n"/>
    </row>
    <row r="14" ht="34" customHeight="1">
      <c r="A14" s="12" t="n">
        <v>9</v>
      </c>
      <c r="B14" s="14" t="inlineStr">
        <is>
          <t>Recording retention period, format, and whether stereo (agent and customer on separate channels) is available.</t>
        </is>
      </c>
      <c r="C14" s="15" t="n"/>
      <c r="D14" s="15" t="n"/>
      <c r="E14" s="16" t="n"/>
    </row>
    <row r="15" ht="34" customHeight="1">
      <c r="A15" s="17" t="n">
        <v>10</v>
      </c>
      <c r="B15" s="19" t="inlineStr">
        <is>
          <t>Can you issue signed recording URLs with a TTL of 300s or less that support HTTP Range requests?</t>
        </is>
      </c>
      <c r="C15" s="15" t="n"/>
      <c r="D15" s="15" t="n"/>
      <c r="E15" s="16" t="n"/>
    </row>
    <row r="16" ht="34" customHeight="1">
      <c r="A16" s="12" t="n">
        <v>11</v>
      </c>
      <c r="B16" s="14" t="inlineStr">
        <is>
          <t>The full disposition and sub-disposition master, and the full hangup-cause list with meanings.</t>
        </is>
      </c>
      <c r="C16" s="15" t="n"/>
      <c r="D16" s="15" t="n"/>
      <c r="E16" s="16" t="n"/>
    </row>
    <row r="17" ht="34" customHeight="1">
      <c r="A17" s="17" t="n">
        <v>12</v>
      </c>
      <c r="B17" s="19" t="inlineStr">
        <is>
          <t>Do the agent-session totals you expose match the User Session report exactly, or are they computed differently?</t>
        </is>
      </c>
      <c r="C17" s="15" t="n"/>
      <c r="D17" s="15" t="n"/>
      <c r="E17" s="16" t="n"/>
    </row>
    <row r="18" ht="34" customHeight="1">
      <c r="A18" s="12" t="n">
        <v>13</v>
      </c>
      <c r="B18" s="14" t="inlineStr">
        <is>
          <t>A named technical contact with email and phone, and your support hours.</t>
        </is>
      </c>
      <c r="C18" s="15" t="n"/>
      <c r="D18" s="15" t="n"/>
      <c r="E18" s="16" t="n"/>
    </row>
    <row r="19" ht="34" customHeight="1">
      <c r="A19" s="17" t="n">
        <v>14</v>
      </c>
      <c r="B19" s="19" t="inlineStr">
        <is>
          <t>Written SLA: webhook delivery latency, API uptime, and how a missed-CDR incident is handled.</t>
        </is>
      </c>
      <c r="C19" s="15" t="n"/>
      <c r="D19" s="15" t="n"/>
      <c r="E19" s="16" t="n"/>
    </row>
    <row r="20" ht="34" customHeight="1">
      <c r="A20" s="12" t="n">
        <v>15</v>
      </c>
      <c r="B20" s="14" t="inlineStr">
        <is>
          <t>Commercials: is this covered by the existing contract? If not, what is the one-time and recurring cost?</t>
        </is>
      </c>
      <c r="C20" s="15" t="n"/>
      <c r="D20" s="15" t="n"/>
      <c r="E20" s="16" t="n"/>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16" customWidth="1" min="4" max="4"/>
    <col width="24" customWidth="1" min="5" max="5"/>
    <col width="34" customWidth="1" min="6" max="6"/>
  </cols>
  <sheetData>
    <row r="1" ht="22" customHeight="1">
      <c r="A1" s="8" t="inlineStr">
        <is>
          <t>Field Confirmation</t>
        </is>
      </c>
    </row>
    <row r="2" ht="26" customHeight="1">
      <c r="A2" s="9" t="inlineStr">
        <is>
          <t>Every field HRX expects. Anything marked No or Partial must be agreed IN WRITING before the SOW is signed — not discovered during UAT.</t>
        </is>
      </c>
    </row>
    <row r="4" ht="34" customHeight="1">
      <c r="A4" s="10" t="inlineStr">
        <is>
          <t>Group</t>
        </is>
      </c>
      <c r="B4" s="10" t="inlineStr">
        <is>
          <t>Field</t>
        </is>
      </c>
      <c r="C4" s="10" t="inlineStr">
        <is>
          <t>What it means</t>
        </is>
      </c>
      <c r="D4" s="10" t="inlineStr">
        <is>
          <t>Can you supply it?</t>
        </is>
      </c>
      <c r="E4" s="10" t="inlineStr">
        <is>
          <t>Your field name</t>
        </is>
      </c>
      <c r="F4" s="10" t="inlineStr">
        <is>
          <t>Notes</t>
        </is>
      </c>
    </row>
    <row r="5">
      <c r="A5" s="11" t="inlineStr">
        <is>
          <t>Identity</t>
        </is>
      </c>
      <c r="B5" s="11" t="inlineStr">
        <is>
          <t>example_field</t>
        </is>
      </c>
      <c r="C5" s="11" t="inlineStr">
        <is>
          <t>Worked example — delete this row</t>
        </is>
      </c>
      <c r="D5" s="11" t="inlineStr">
        <is>
          <t>Yes</t>
        </is>
      </c>
      <c r="E5" s="11" t="inlineStr">
        <is>
          <t>cv_call_ref</t>
        </is>
      </c>
      <c r="F5" s="11" t="inlineStr">
        <is>
          <t>Same as RID on the CDR screen.</t>
        </is>
      </c>
    </row>
    <row r="6" ht="26" customHeight="1">
      <c r="A6" s="30" t="inlineStr">
        <is>
          <t>Identity</t>
        </is>
      </c>
      <c r="B6" s="31" t="inlineStr">
        <is>
          <t>call_uid</t>
        </is>
      </c>
      <c r="C6" s="14" t="inlineStr">
        <is>
          <t>Your call id. MUST equal the RID/UID on your CDR screen.</t>
        </is>
      </c>
      <c r="D6" s="32" t="n"/>
      <c r="E6" s="15" t="n"/>
      <c r="F6" s="15" t="n"/>
    </row>
    <row r="7" ht="26" customHeight="1">
      <c r="A7" s="33" t="inlineStr">
        <is>
          <t>Identity</t>
        </is>
      </c>
      <c r="B7" s="34" t="inlineStr">
        <is>
          <t>ref_id</t>
        </is>
      </c>
      <c r="C7" s="19" t="inlineStr">
        <is>
          <t>HRX's correlation id, echoed on every event. Null on manual/inbound.</t>
        </is>
      </c>
      <c r="D7" s="32" t="n"/>
      <c r="E7" s="15" t="n"/>
      <c r="F7" s="15" t="n"/>
    </row>
    <row r="8" ht="26" customHeight="1">
      <c r="A8" s="30" t="inlineStr">
        <is>
          <t>Identity</t>
        </is>
      </c>
      <c r="B8" s="31" t="inlineStr">
        <is>
          <t>parent_call_uid</t>
        </is>
      </c>
      <c r="C8" s="14" t="inlineStr">
        <is>
          <t>Set on legs created by transfer or forwarding.</t>
        </is>
      </c>
      <c r="D8" s="32" t="n"/>
      <c r="E8" s="15" t="n"/>
      <c r="F8" s="15" t="n"/>
    </row>
    <row r="9" ht="26" customHeight="1">
      <c r="A9" s="33" t="inlineStr">
        <is>
          <t>Identity</t>
        </is>
      </c>
      <c r="B9" s="34" t="inlineStr">
        <is>
          <t>origin</t>
        </is>
      </c>
      <c r="C9" s="19" t="inlineStr">
        <is>
          <t>api_click_to_call / manual_dial / inbound / ivr / predictive / callback ...</t>
        </is>
      </c>
      <c r="D9" s="32" t="n"/>
      <c r="E9" s="15" t="n"/>
      <c r="F9" s="15" t="n"/>
    </row>
    <row r="10" ht="26" customHeight="1">
      <c r="A10" s="30" t="inlineStr">
        <is>
          <t>Identity</t>
        </is>
      </c>
      <c r="B10" s="31" t="inlineStr">
        <is>
          <t>direction</t>
        </is>
      </c>
      <c r="C10" s="14" t="inlineStr">
        <is>
          <t>inbound / outbound / internal.</t>
        </is>
      </c>
      <c r="D10" s="32" t="n"/>
      <c r="E10" s="15" t="n"/>
      <c r="F10" s="15" t="n"/>
    </row>
    <row r="11" ht="26" customHeight="1">
      <c r="A11" s="33" t="inlineStr">
        <is>
          <t>Identity</t>
        </is>
      </c>
      <c r="B11" s="34" t="inlineStr">
        <is>
          <t>mode</t>
        </is>
      </c>
      <c r="C11" s="19" t="inlineStr">
        <is>
          <t>auto / manual — the dialling mode.</t>
        </is>
      </c>
      <c r="D11" s="32" t="n"/>
      <c r="E11" s="15" t="n"/>
      <c r="F11" s="15" t="n"/>
    </row>
    <row r="12" ht="26" customHeight="1">
      <c r="A12" s="30" t="inlineStr">
        <is>
          <t>Agent</t>
        </is>
      </c>
      <c r="B12" s="31" t="inlineStr">
        <is>
          <t>agent.agent_id / agent_code / agent_name</t>
        </is>
      </c>
      <c r="C12" s="14" t="inlineStr">
        <is>
          <t>Dialer agent identity.</t>
        </is>
      </c>
      <c r="D12" s="32" t="n"/>
      <c r="E12" s="15" t="n"/>
      <c r="F12" s="15" t="n"/>
    </row>
    <row r="13" ht="26" customHeight="1">
      <c r="A13" s="33" t="inlineStr">
        <is>
          <t>Agent</t>
        </is>
      </c>
      <c r="B13" s="34" t="inlineStr">
        <is>
          <t>agent.extension</t>
        </is>
      </c>
      <c r="C13" s="19" t="inlineStr">
        <is>
          <t>Often the only identity a handset dial carries.</t>
        </is>
      </c>
      <c r="D13" s="32" t="n"/>
      <c r="E13" s="15" t="n"/>
      <c r="F13" s="15" t="n"/>
    </row>
    <row r="14" ht="26" customHeight="1">
      <c r="A14" s="30" t="inlineStr">
        <is>
          <t>Agent</t>
        </is>
      </c>
      <c r="B14" s="31" t="inlineStr">
        <is>
          <t>agent.agent_number</t>
        </is>
      </c>
      <c r="C14" s="14" t="inlineStr">
        <is>
          <t>The agent's own phone / SIM leg that rings first.</t>
        </is>
      </c>
      <c r="D14" s="32" t="n"/>
      <c r="E14" s="15" t="n"/>
      <c r="F14" s="15" t="n"/>
    </row>
    <row r="15" ht="26" customHeight="1">
      <c r="A15" s="33" t="inlineStr">
        <is>
          <t>Agent</t>
        </is>
      </c>
      <c r="B15" s="34" t="inlineStr">
        <is>
          <t>agent.hrms_employee_id</t>
        </is>
      </c>
      <c r="C15" s="19" t="inlineStr">
        <is>
          <t>HRX employee code. Most reliable — we supply the mapping.</t>
        </is>
      </c>
      <c r="D15" s="32" t="n"/>
      <c r="E15" s="15" t="n"/>
      <c r="F15" s="15" t="n"/>
    </row>
    <row r="16" ht="26" customHeight="1">
      <c r="A16" s="30" t="inlineStr">
        <is>
          <t>Numbers</t>
        </is>
      </c>
      <c r="B16" s="31" t="inlineStr">
        <is>
          <t>caller_number / callee_number</t>
        </is>
      </c>
      <c r="C16" s="14" t="inlineStr">
        <is>
          <t>A-party and B-party, E.164 with country code.</t>
        </is>
      </c>
      <c r="D16" s="32" t="n"/>
      <c r="E16" s="15" t="n"/>
      <c r="F16" s="15" t="n"/>
    </row>
    <row r="17" ht="26" customHeight="1">
      <c r="A17" s="33" t="inlineStr">
        <is>
          <t>Numbers</t>
        </is>
      </c>
      <c r="B17" s="34" t="inlineStr">
        <is>
          <t>did_number</t>
        </is>
      </c>
      <c r="C17" s="19" t="inlineStr">
        <is>
          <t>Caller ID presented to the customer.</t>
        </is>
      </c>
      <c r="D17" s="32" t="n"/>
      <c r="E17" s="15" t="n"/>
      <c r="F17" s="15" t="n"/>
    </row>
    <row r="18" ht="26" customHeight="1">
      <c r="A18" s="30" t="inlineStr">
        <is>
          <t>Routing</t>
        </is>
      </c>
      <c r="B18" s="31" t="inlineStr">
        <is>
          <t>campaign.*</t>
        </is>
      </c>
      <c r="C18" s="14" t="inlineStr">
        <is>
          <t>campaign_id, name, queue, skill, lead_source.</t>
        </is>
      </c>
      <c r="D18" s="32" t="n"/>
      <c r="E18" s="15" t="n"/>
      <c r="F18" s="15" t="n"/>
    </row>
    <row r="19" ht="26" customHeight="1">
      <c r="A19" s="33" t="inlineStr">
        <is>
          <t>Gateway</t>
        </is>
      </c>
      <c r="B19" s="34" t="inlineStr">
        <is>
          <t>gateway.*</t>
        </is>
      </c>
      <c r="C19" s="19" t="inlineStr">
        <is>
          <t>gateway_id, channel, sim_msisdn, operator, trunk.</t>
        </is>
      </c>
      <c r="D19" s="32" t="n"/>
      <c r="E19" s="15" t="n"/>
      <c r="F19" s="15" t="n"/>
    </row>
    <row r="20" ht="26" customHeight="1">
      <c r="A20" s="30" t="inlineStr">
        <is>
          <t>Outcome</t>
        </is>
      </c>
      <c r="B20" s="31" t="inlineStr">
        <is>
          <t>status</t>
        </is>
      </c>
      <c r="C20" s="14" t="inlineStr">
        <is>
          <t>answered / no_answer / busy / failed / abandoned / switched_off ...</t>
        </is>
      </c>
      <c r="D20" s="32" t="n"/>
      <c r="E20" s="15" t="n"/>
      <c r="F20" s="15" t="n"/>
    </row>
    <row r="21" ht="26" customHeight="1">
      <c r="A21" s="33" t="inlineStr">
        <is>
          <t>Outcome</t>
        </is>
      </c>
      <c r="B21" s="34" t="inlineStr">
        <is>
          <t>hangup_by</t>
        </is>
      </c>
      <c r="C21" s="19" t="inlineStr">
        <is>
          <t>agent / customer / system / supervisor / timeout.</t>
        </is>
      </c>
      <c r="D21" s="32" t="n"/>
      <c r="E21" s="15" t="n"/>
      <c r="F21" s="15" t="n"/>
    </row>
    <row r="22" ht="26" customHeight="1">
      <c r="A22" s="30" t="inlineStr">
        <is>
          <t>Outcome</t>
        </is>
      </c>
      <c r="B22" s="31" t="inlineStr">
        <is>
          <t>hangup_cause / hangup_cause_code</t>
        </is>
      </c>
      <c r="C22" s="14" t="inlineStr">
        <is>
          <t>Q.850 or SIP cause, e.g. NORMAL_CLEARING / 16.</t>
        </is>
      </c>
      <c r="D22" s="32" t="n"/>
      <c r="E22" s="15" t="n"/>
      <c r="F22" s="15" t="n"/>
    </row>
    <row r="23" ht="26" customHeight="1">
      <c r="A23" s="33" t="inlineStr">
        <is>
          <t>Timestamps</t>
        </is>
      </c>
      <c r="B23" s="34" t="inlineStr">
        <is>
          <t>initiated_at</t>
        </is>
      </c>
      <c r="C23" s="19" t="inlineStr">
        <is>
          <t>API accepted, or manual dial started. REQUIRED — the day's count uses it.</t>
        </is>
      </c>
      <c r="D23" s="32" t="n"/>
      <c r="E23" s="15" t="n"/>
      <c r="F23" s="15" t="n"/>
    </row>
    <row r="24" ht="26" customHeight="1">
      <c r="A24" s="30" t="inlineStr">
        <is>
          <t>Timestamps</t>
        </is>
      </c>
      <c r="B24" s="31" t="inlineStr">
        <is>
          <t>agent_ring_at / agent_answer_at</t>
        </is>
      </c>
      <c r="C24" s="14" t="inlineStr">
        <is>
          <t>The agent leg.</t>
        </is>
      </c>
      <c r="D24" s="32" t="n"/>
      <c r="E24" s="15" t="n"/>
      <c r="F24" s="15" t="n"/>
    </row>
    <row r="25" ht="26" customHeight="1">
      <c r="A25" s="33" t="inlineStr">
        <is>
          <t>Timestamps</t>
        </is>
      </c>
      <c r="B25" s="34" t="inlineStr">
        <is>
          <t>customer_ring_at</t>
        </is>
      </c>
      <c r="C25" s="19" t="inlineStr">
        <is>
          <t>Customer leg started ringing.</t>
        </is>
      </c>
      <c r="D25" s="32" t="n"/>
      <c r="E25" s="15" t="n"/>
      <c r="F25" s="15" t="n"/>
    </row>
    <row r="26" ht="26" customHeight="1">
      <c r="A26" s="30" t="inlineStr">
        <is>
          <t>Timestamps</t>
        </is>
      </c>
      <c r="B26" s="31" t="inlineStr">
        <is>
          <t>answered_at</t>
        </is>
      </c>
      <c r="C26" s="14" t="inlineStr">
        <is>
          <t>Both legs bridged — talk time starts here.</t>
        </is>
      </c>
      <c r="D26" s="32" t="n"/>
      <c r="E26" s="15" t="n"/>
      <c r="F26" s="15" t="n"/>
    </row>
    <row r="27" ht="26" customHeight="1">
      <c r="A27" s="33" t="inlineStr">
        <is>
          <t>Timestamps</t>
        </is>
      </c>
      <c r="B27" s="34" t="inlineStr">
        <is>
          <t>ended_at</t>
        </is>
      </c>
      <c r="C27" s="19" t="inlineStr">
        <is>
          <t>Hangup.</t>
        </is>
      </c>
      <c r="D27" s="32" t="n"/>
      <c r="E27" s="15" t="n"/>
      <c r="F27" s="15" t="n"/>
    </row>
    <row r="28" ht="26" customHeight="1">
      <c r="A28" s="30" t="inlineStr">
        <is>
          <t>Timestamps</t>
        </is>
      </c>
      <c r="B28" s="31" t="inlineStr">
        <is>
          <t>wrapup_start_at / wrapup_end_at</t>
        </is>
      </c>
      <c r="C28" s="14" t="inlineStr">
        <is>
          <t>After-call work window.</t>
        </is>
      </c>
      <c r="D28" s="32" t="n"/>
      <c r="E28" s="15" t="n"/>
      <c r="F28" s="15" t="n"/>
    </row>
    <row r="29" ht="26" customHeight="1">
      <c r="A29" s="33" t="inlineStr">
        <is>
          <t>Timestamps</t>
        </is>
      </c>
      <c r="B29" s="34" t="inlineStr">
        <is>
          <t>queue_enter_at / queue_exit_at</t>
        </is>
      </c>
      <c r="C29" s="19" t="inlineStr">
        <is>
          <t>Queue window for inbound.</t>
        </is>
      </c>
      <c r="D29" s="32" t="n"/>
      <c r="E29" s="15" t="n"/>
      <c r="F29" s="15" t="n"/>
    </row>
    <row r="30" ht="26" customHeight="1">
      <c r="A30" s="30" t="inlineStr">
        <is>
          <t>Durations</t>
        </is>
      </c>
      <c r="B30" s="31" t="inlineStr">
        <is>
          <t>agent_ring_seconds</t>
        </is>
      </c>
      <c r="C30" s="14" t="inlineStr">
        <is>
          <t>How long the agent's phone rang.</t>
        </is>
      </c>
      <c r="D30" s="32" t="n"/>
      <c r="E30" s="15" t="n"/>
      <c r="F30" s="15" t="n"/>
    </row>
    <row r="31" ht="26" customHeight="1">
      <c r="A31" s="33" t="inlineStr">
        <is>
          <t>Durations</t>
        </is>
      </c>
      <c r="B31" s="34" t="inlineStr">
        <is>
          <t>customer_ring_seconds</t>
        </is>
      </c>
      <c r="C31" s="19" t="inlineStr">
        <is>
          <t>The ringing time we asked for.</t>
        </is>
      </c>
      <c r="D31" s="32" t="n"/>
      <c r="E31" s="15" t="n"/>
      <c r="F31" s="15" t="n"/>
    </row>
    <row r="32" ht="26" customHeight="1">
      <c r="A32" s="30" t="inlineStr">
        <is>
          <t>Durations</t>
        </is>
      </c>
      <c r="B32" s="31" t="inlineStr">
        <is>
          <t>pdd_seconds</t>
        </is>
      </c>
      <c r="C32" s="14" t="inlineStr">
        <is>
          <t>Post-dial delay — the number that exposes a bad GSM route.</t>
        </is>
      </c>
      <c r="D32" s="32" t="n"/>
      <c r="E32" s="15" t="n"/>
      <c r="F32" s="15" t="n"/>
    </row>
    <row r="33" ht="26" customHeight="1">
      <c r="A33" s="33" t="inlineStr">
        <is>
          <t>Durations</t>
        </is>
      </c>
      <c r="B33" s="34" t="inlineStr">
        <is>
          <t>queue_wait_seconds</t>
        </is>
      </c>
      <c r="C33" s="19" t="inlineStr">
        <is>
          <t>Time in queue before answer or abandon.</t>
        </is>
      </c>
      <c r="D33" s="32" t="n"/>
      <c r="E33" s="15" t="n"/>
      <c r="F33" s="15" t="n"/>
    </row>
    <row r="34" ht="26" customHeight="1">
      <c r="A34" s="30" t="inlineStr">
        <is>
          <t>Durations</t>
        </is>
      </c>
      <c r="B34" s="31" t="inlineStr">
        <is>
          <t>talk_seconds</t>
        </is>
      </c>
      <c r="C34" s="14" t="inlineStr">
        <is>
          <t>Bridged conversation, EXCLUDING hold.</t>
        </is>
      </c>
      <c r="D34" s="32" t="n"/>
      <c r="E34" s="15" t="n"/>
      <c r="F34" s="15" t="n"/>
    </row>
    <row r="35" ht="26" customHeight="1">
      <c r="A35" s="33" t="inlineStr">
        <is>
          <t>Durations</t>
        </is>
      </c>
      <c r="B35" s="34" t="inlineStr">
        <is>
          <t>hold_seconds / wrap_seconds</t>
        </is>
      </c>
      <c r="C35" s="19" t="inlineStr">
        <is>
          <t>Hold total and after-call work.</t>
        </is>
      </c>
      <c r="D35" s="32" t="n"/>
      <c r="E35" s="15" t="n"/>
      <c r="F35" s="15" t="n"/>
    </row>
    <row r="36" ht="26" customHeight="1">
      <c r="A36" s="30" t="inlineStr">
        <is>
          <t>Durations</t>
        </is>
      </c>
      <c r="B36" s="31" t="inlineStr">
        <is>
          <t>total_seconds</t>
        </is>
      </c>
      <c r="C36" s="14" t="inlineStr">
        <is>
          <t>initiated_at to ended_at.</t>
        </is>
      </c>
      <c r="D36" s="32" t="n"/>
      <c r="E36" s="15" t="n"/>
      <c r="F36" s="15" t="n"/>
    </row>
    <row r="37" ht="26" customHeight="1">
      <c r="A37" s="33" t="inlineStr">
        <is>
          <t>Durations</t>
        </is>
      </c>
      <c r="B37" s="34" t="inlineStr">
        <is>
          <t>billed_seconds</t>
        </is>
      </c>
      <c r="C37" s="19" t="inlineStr">
        <is>
          <t>Operator-billed pulse, for cost reporting.</t>
        </is>
      </c>
      <c r="D37" s="32" t="n"/>
      <c r="E37" s="15" t="n"/>
      <c r="F37" s="15" t="n"/>
    </row>
    <row r="38" ht="26" customHeight="1">
      <c r="A38" s="30" t="inlineStr">
        <is>
          <t>Outcome</t>
        </is>
      </c>
      <c r="B38" s="31" t="inlineStr">
        <is>
          <t>disposition.*</t>
        </is>
      </c>
      <c r="C38" s="14" t="inlineStr">
        <is>
          <t>code, name, sub_code, sub_name, remarks, callback_at.</t>
        </is>
      </c>
      <c r="D38" s="32" t="n"/>
      <c r="E38" s="15" t="n"/>
      <c r="F38" s="15" t="n"/>
    </row>
    <row r="39" ht="26" customHeight="1">
      <c r="A39" s="33" t="inlineStr">
        <is>
          <t>Recording</t>
        </is>
      </c>
      <c r="B39" s="34" t="inlineStr">
        <is>
          <t>recording.recording_uid</t>
        </is>
      </c>
      <c r="C39" s="19" t="inlineStr">
        <is>
          <t>Handle only — never a playable URL.</t>
        </is>
      </c>
      <c r="D39" s="32" t="n"/>
      <c r="E39" s="15" t="n"/>
      <c r="F39" s="15" t="n"/>
    </row>
    <row r="40" ht="26" customHeight="1">
      <c r="A40" s="30" t="inlineStr">
        <is>
          <t>Recording</t>
        </is>
      </c>
      <c r="B40" s="31" t="inlineStr">
        <is>
          <t>recording.channels</t>
        </is>
      </c>
      <c r="C40" s="14" t="inlineStr">
        <is>
          <t>Stereo strongly preferred (agent and customer separated).</t>
        </is>
      </c>
      <c r="D40" s="32" t="n"/>
      <c r="E40" s="15" t="n"/>
      <c r="F40" s="15" t="n"/>
    </row>
    <row r="41" ht="26" customHeight="1">
      <c r="A41" s="33" t="inlineStr">
        <is>
          <t>Recording</t>
        </is>
      </c>
      <c r="B41" s="34" t="inlineStr">
        <is>
          <t>signed URL, TTL &lt;= 300s, Range</t>
        </is>
      </c>
      <c r="C41" s="19" t="inlineStr">
        <is>
          <t>So HRX can proxy playback safely.</t>
        </is>
      </c>
      <c r="D41" s="32" t="n"/>
      <c r="E41" s="15" t="n"/>
      <c r="F41" s="15" t="n"/>
    </row>
    <row r="42" ht="26" customHeight="1">
      <c r="A42" s="30" t="inlineStr">
        <is>
          <t>Legs</t>
        </is>
      </c>
      <c r="B42" s="31" t="inlineStr">
        <is>
          <t>transfer.*</t>
        </is>
      </c>
      <c r="C42" s="14" t="inlineStr">
        <is>
          <t>type, from, to, transferred_at, child_call_uid, consult_seconds.</t>
        </is>
      </c>
      <c r="D42" s="32" t="n"/>
      <c r="E42" s="15" t="n"/>
      <c r="F42" s="15" t="n"/>
    </row>
    <row r="43" ht="26" customHeight="1">
      <c r="A43" s="33" t="inlineStr">
        <is>
          <t>Legs</t>
        </is>
      </c>
      <c r="B43" s="34" t="inlineStr">
        <is>
          <t>conference.*</t>
        </is>
      </c>
      <c r="C43" s="19" t="inlineStr">
        <is>
          <t>conference_id, participants[], recording_uid.</t>
        </is>
      </c>
      <c r="D43" s="32" t="n"/>
      <c r="E43" s="15" t="n"/>
      <c r="F43" s="15" t="n"/>
    </row>
    <row r="44" ht="26" customHeight="1">
      <c r="A44" s="30" t="inlineStr">
        <is>
          <t>Legs</t>
        </is>
      </c>
      <c r="B44" s="31" t="inlineStr">
        <is>
          <t>forwarding.*</t>
        </is>
      </c>
      <c r="C44" s="14" t="inlineStr">
        <is>
          <t>type, from_number, to_number, child_call_uid.</t>
        </is>
      </c>
      <c r="D44" s="32" t="n"/>
      <c r="E44" s="15" t="n"/>
      <c r="F44" s="15" t="n"/>
    </row>
    <row r="45" ht="26" customHeight="1">
      <c r="A45" s="33" t="inlineStr">
        <is>
          <t>Legs</t>
        </is>
      </c>
      <c r="B45" s="34" t="inlineStr">
        <is>
          <t>hold_events[]</t>
        </is>
      </c>
      <c r="C45" s="19" t="inlineStr">
        <is>
          <t>Each hold period with from, to, seconds.</t>
        </is>
      </c>
      <c r="D45" s="32" t="n"/>
      <c r="E45" s="15" t="n"/>
      <c r="F45" s="15" t="n"/>
    </row>
    <row r="46" ht="26" customHeight="1">
      <c r="A46" s="30" t="inlineStr">
        <is>
          <t>Quality</t>
        </is>
      </c>
      <c r="B46" s="31" t="inlineStr">
        <is>
          <t>quality.mos / jitter_ms / packet_loss</t>
        </is>
      </c>
      <c r="C46" s="14" t="inlineStr">
        <is>
          <t>Optional — settles 'the line was bad' disputes.</t>
        </is>
      </c>
      <c r="D46" s="32" t="n"/>
      <c r="E46" s="15" t="n"/>
      <c r="F46" s="15" t="n"/>
    </row>
    <row r="47" ht="26" customHeight="1">
      <c r="A47" s="33" t="inlineStr">
        <is>
          <t>Cost</t>
        </is>
      </c>
      <c r="B47" s="34" t="inlineStr">
        <is>
          <t>cost.*</t>
        </is>
      </c>
      <c r="C47" s="19" t="inlineStr">
        <is>
          <t>Optional — enables cost-per-lead reporting.</t>
        </is>
      </c>
      <c r="D47" s="32" t="n"/>
      <c r="E47" s="15" t="n"/>
      <c r="F47" s="15" t="n"/>
    </row>
    <row r="48" ht="26" customHeight="1">
      <c r="A48" s="30" t="inlineStr">
        <is>
          <t>Session</t>
        </is>
      </c>
      <c r="B48" s="31" t="inlineStr">
        <is>
          <t>session totals at logout</t>
        </is>
      </c>
      <c r="C48" s="14" t="inlineStr">
        <is>
          <t>login, ready, talk, hold, wrap, idle, break, occupancy.</t>
        </is>
      </c>
      <c r="D48" s="32" t="n"/>
      <c r="E48" s="15" t="n"/>
      <c r="F48" s="15" t="n"/>
    </row>
    <row r="49" ht="26" customHeight="1">
      <c r="A49" s="33" t="inlineStr">
        <is>
          <t>Session</t>
        </is>
      </c>
      <c r="B49" s="34" t="inlineStr">
        <is>
          <t>breaks[] with reason</t>
        </is>
      </c>
      <c r="C49" s="19" t="inlineStr">
        <is>
          <t>Maps to your Offtime report.</t>
        </is>
      </c>
      <c r="D49" s="32" t="n"/>
      <c r="E49" s="15" t="n"/>
      <c r="F49" s="15" t="n"/>
    </row>
    <row r="50" ht="26" customHeight="1">
      <c r="A50" s="30" t="inlineStr">
        <is>
          <t>Session</t>
        </is>
      </c>
      <c r="B50" s="31" t="inlineStr">
        <is>
          <t>agent.state stream</t>
        </is>
      </c>
      <c r="C50" s="14" t="inlineStr">
        <is>
          <t>ready / oncall / wrapup / idle / break / offline.</t>
        </is>
      </c>
      <c r="D50" s="32" t="n"/>
      <c r="E50" s="15" t="n"/>
      <c r="F50" s="15" t="n"/>
    </row>
    <row r="52">
      <c r="C52" s="24" t="inlineStr">
        <is>
          <t>Fields confirmed available</t>
        </is>
      </c>
      <c r="D52" s="25">
        <f>COUNTIF(D6:D50,"Yes")</f>
        <v/>
      </c>
    </row>
    <row r="53">
      <c r="C53" s="24" t="inlineStr">
        <is>
          <t>Not available / partial — must be agreed in writing</t>
        </is>
      </c>
      <c r="D53" s="26">
        <f>COUNTIF(D6:D50,"No")+COUNTIF(D6:D50,"Partial")</f>
        <v/>
      </c>
    </row>
    <row r="54">
      <c r="C54" s="24" t="inlineStr">
        <is>
          <t>Still unanswered</t>
        </is>
      </c>
      <c r="D54" s="24">
        <f>45-COUNTIF(D6:D50,"Yes")-COUNTIF(D6:D50,"No")-COUNTIF(D6:D50,"Partial")</f>
        <v/>
      </c>
    </row>
  </sheetData>
  <mergeCells count="2">
    <mergeCell ref="A2:F2"/>
    <mergeCell ref="A1:F1"/>
  </mergeCells>
  <dataValidations count="1">
    <dataValidation sqref="D6 D7 D8 D9 D10 D11 D12 D13 D14 D15 D16 D17 D18 D19 D20 D21 D22 D23 D24 D25 D26 D27 D28 D29 D30 D31 D32 D33 D34 D35 D36 D37 D38 D39 D40 D41 D42 D43 D44 D45 D46 D47 D48 D49 D50" showDropDown="0" showInputMessage="0" showErrorMessage="0" allowBlank="1"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18" customWidth="1" min="3" max="3"/>
    <col width="14" customWidth="1" min="4" max="4"/>
    <col width="12" customWidth="1" min="5" max="5"/>
    <col width="13" customWidth="1" min="6" max="6"/>
    <col width="15" customWidth="1" min="7" max="7"/>
    <col width="46" customWidth="1" min="8" max="8"/>
  </cols>
  <sheetData>
    <row r="1" ht="22" customHeight="1">
      <c r="A1" s="8" t="inlineStr">
        <is>
          <t>Reconciliation Log</t>
        </is>
      </c>
    </row>
    <row r="2" ht="26" customHeight="1">
      <c r="A2" s="9" t="inlineStr">
        <is>
          <t>Seven CONSECUTIVE days at a zero count gap. A gap is a defect to root-cause, never a tolerance to widen. Run: php artisan telephony:reconcile --date=YYYY-MM-DD</t>
        </is>
      </c>
    </row>
    <row r="4" ht="34" customHeight="1">
      <c r="A4" s="10" t="inlineStr">
        <is>
          <t>Day</t>
        </is>
      </c>
      <c r="B4" s="10" t="inlineStr">
        <is>
          <t>Date</t>
        </is>
      </c>
      <c r="C4" s="10" t="inlineStr">
        <is>
          <t>CentroVision calls</t>
        </is>
      </c>
      <c r="D4" s="10" t="inlineStr">
        <is>
          <t>HRX calls</t>
        </is>
      </c>
      <c r="E4" s="10" t="inlineStr">
        <is>
          <t>Count gap</t>
        </is>
      </c>
      <c r="F4" s="10" t="inlineStr">
        <is>
          <t>Talk gap (s)</t>
        </is>
      </c>
      <c r="G4" s="10" t="inlineStr">
        <is>
          <t>Result</t>
        </is>
      </c>
      <c r="H4" s="10" t="inlineStr">
        <is>
          <t>If not zero — root cause</t>
        </is>
      </c>
    </row>
    <row r="5">
      <c r="A5" s="28" t="inlineStr">
        <is>
          <t>eg</t>
        </is>
      </c>
      <c r="B5" s="35" t="inlineStr">
        <is>
          <t>2026-08-21</t>
        </is>
      </c>
      <c r="C5" s="11" t="n">
        <v>1284</v>
      </c>
      <c r="D5" s="11" t="n">
        <v>1284</v>
      </c>
      <c r="E5" s="11">
        <f>C5-D5</f>
        <v/>
      </c>
      <c r="F5" s="11" t="n">
        <v>0</v>
      </c>
      <c r="G5" s="11">
        <f>IF(AND(E5=0,ABS(F5)&lt;=2*C5),"PASS","INVESTIGATE")</f>
        <v/>
      </c>
      <c r="H5" s="11" t="inlineStr">
        <is>
          <t>Worked example — delete this row</t>
        </is>
      </c>
    </row>
    <row r="6" ht="22" customHeight="1">
      <c r="A6" s="12" t="n">
        <v>1</v>
      </c>
      <c r="B6" s="36" t="n"/>
      <c r="C6" s="32" t="n"/>
      <c r="D6" s="32" t="n"/>
      <c r="E6" s="12">
        <f>IF(COUNT(C6:D6)=2,C6-D6,"")</f>
        <v/>
      </c>
      <c r="F6" s="32" t="n"/>
      <c r="G6" s="12">
        <f>IF(COUNT(C6:D6)&lt;2,"",IF(AND(E6=0,ABS(N(F6))&lt;=2*C6),"PASS","INVESTIGATE"))</f>
        <v/>
      </c>
      <c r="H6" s="15" t="n"/>
    </row>
    <row r="7" ht="22" customHeight="1">
      <c r="A7" s="17" t="n">
        <v>2</v>
      </c>
      <c r="B7" s="36" t="n"/>
      <c r="C7" s="32" t="n"/>
      <c r="D7" s="32" t="n"/>
      <c r="E7" s="17">
        <f>IF(COUNT(C7:D7)=2,C7-D7,"")</f>
        <v/>
      </c>
      <c r="F7" s="32" t="n"/>
      <c r="G7" s="17">
        <f>IF(COUNT(C7:D7)&lt;2,"",IF(AND(E7=0,ABS(N(F7))&lt;=2*C7),"PASS","INVESTIGATE"))</f>
        <v/>
      </c>
      <c r="H7" s="15" t="n"/>
    </row>
    <row r="8" ht="22" customHeight="1">
      <c r="A8" s="12" t="n">
        <v>3</v>
      </c>
      <c r="B8" s="36" t="n"/>
      <c r="C8" s="32" t="n"/>
      <c r="D8" s="32" t="n"/>
      <c r="E8" s="12">
        <f>IF(COUNT(C8:D8)=2,C8-D8,"")</f>
        <v/>
      </c>
      <c r="F8" s="32" t="n"/>
      <c r="G8" s="12">
        <f>IF(COUNT(C8:D8)&lt;2,"",IF(AND(E8=0,ABS(N(F8))&lt;=2*C8),"PASS","INVESTIGATE"))</f>
        <v/>
      </c>
      <c r="H8" s="15" t="n"/>
    </row>
    <row r="9" ht="22" customHeight="1">
      <c r="A9" s="17" t="n">
        <v>4</v>
      </c>
      <c r="B9" s="36" t="n"/>
      <c r="C9" s="32" t="n"/>
      <c r="D9" s="32" t="n"/>
      <c r="E9" s="17">
        <f>IF(COUNT(C9:D9)=2,C9-D9,"")</f>
        <v/>
      </c>
      <c r="F9" s="32" t="n"/>
      <c r="G9" s="17">
        <f>IF(COUNT(C9:D9)&lt;2,"",IF(AND(E9=0,ABS(N(F9))&lt;=2*C9),"PASS","INVESTIGATE"))</f>
        <v/>
      </c>
      <c r="H9" s="15" t="n"/>
    </row>
    <row r="10" ht="22" customHeight="1">
      <c r="A10" s="12" t="n">
        <v>5</v>
      </c>
      <c r="B10" s="36" t="n"/>
      <c r="C10" s="32" t="n"/>
      <c r="D10" s="32" t="n"/>
      <c r="E10" s="12">
        <f>IF(COUNT(C10:D10)=2,C10-D10,"")</f>
        <v/>
      </c>
      <c r="F10" s="32" t="n"/>
      <c r="G10" s="12">
        <f>IF(COUNT(C10:D10)&lt;2,"",IF(AND(E10=0,ABS(N(F10))&lt;=2*C10),"PASS","INVESTIGATE"))</f>
        <v/>
      </c>
      <c r="H10" s="15" t="n"/>
    </row>
    <row r="11" ht="22" customHeight="1">
      <c r="A11" s="17" t="n">
        <v>6</v>
      </c>
      <c r="B11" s="36" t="n"/>
      <c r="C11" s="32" t="n"/>
      <c r="D11" s="32" t="n"/>
      <c r="E11" s="17">
        <f>IF(COUNT(C11:D11)=2,C11-D11,"")</f>
        <v/>
      </c>
      <c r="F11" s="32" t="n"/>
      <c r="G11" s="17">
        <f>IF(COUNT(C11:D11)&lt;2,"",IF(AND(E11=0,ABS(N(F11))&lt;=2*C11),"PASS","INVESTIGATE"))</f>
        <v/>
      </c>
      <c r="H11" s="15" t="n"/>
    </row>
    <row r="12" ht="22" customHeight="1">
      <c r="A12" s="12" t="n">
        <v>7</v>
      </c>
      <c r="B12" s="36" t="n"/>
      <c r="C12" s="32" t="n"/>
      <c r="D12" s="32" t="n"/>
      <c r="E12" s="12">
        <f>IF(COUNT(C12:D12)=2,C12-D12,"")</f>
        <v/>
      </c>
      <c r="F12" s="32" t="n"/>
      <c r="G12" s="12">
        <f>IF(COUNT(C12:D12)&lt;2,"",IF(AND(E12=0,ABS(N(F12))&lt;=2*C12),"PASS","INVESTIGATE"))</f>
        <v/>
      </c>
      <c r="H12" s="15" t="n"/>
    </row>
    <row r="14">
      <c r="B14" s="24" t="inlineStr">
        <is>
          <t>Consecutive PASS days</t>
        </is>
      </c>
      <c r="C14" s="37">
        <f>COUNTIF(G6:G12,"PASS")</f>
        <v/>
      </c>
    </row>
    <row r="15">
      <c r="B15" s="27">
        <f>IF(COUNTIF(G6:G12,"PASS")=7,"RECONCILIATION CRITERION MET","NOT MET — 7 consecutive zero-gap days required")</f>
        <v/>
      </c>
    </row>
    <row r="17">
      <c r="B17" s="38" t="inlineStr">
        <is>
          <t>Tolerance: count gap must be exactly 0. Talk gap is allowed 2 seconds per call (matching config telephony.reconcile.talk_tolerance_seconds).</t>
        </is>
      </c>
    </row>
  </sheetData>
  <mergeCells count="4">
    <mergeCell ref="B15:F15"/>
    <mergeCell ref="A2:H2"/>
    <mergeCell ref="B17:H17"/>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5" customWidth="1" min="1" max="1"/>
    <col width="70" customWidth="1" min="2" max="2"/>
    <col width="10" customWidth="1" min="3" max="3"/>
    <col width="34" customWidth="1" min="4" max="4"/>
    <col width="22" customWidth="1" min="5" max="5"/>
  </cols>
  <sheetData>
    <row r="1" ht="22" customHeight="1">
      <c r="A1" s="8" t="inlineStr">
        <is>
          <t>Acceptance Criteria</t>
        </is>
      </c>
    </row>
    <row r="2" ht="26" customHeight="1">
      <c r="A2" s="9" t="inlineStr">
        <is>
          <t>Do not sign off without every line met.</t>
        </is>
      </c>
    </row>
    <row r="4" ht="34" customHeight="1">
      <c r="A4" s="10" t="inlineStr">
        <is>
          <t>#</t>
        </is>
      </c>
      <c r="B4" s="10" t="inlineStr">
        <is>
          <t>Criterion</t>
        </is>
      </c>
      <c r="C4" s="10" t="inlineStr">
        <is>
          <t>Met?</t>
        </is>
      </c>
      <c r="D4" s="10" t="inlineStr">
        <is>
          <t>Evidence</t>
        </is>
      </c>
      <c r="E4" s="10" t="inlineStr">
        <is>
          <t>Signed</t>
        </is>
      </c>
    </row>
    <row r="5" ht="30" customHeight="1">
      <c r="A5" s="17" t="n">
        <v>1</v>
      </c>
      <c r="B5" s="19" t="inlineStr">
        <is>
          <t>Seven consecutive days of nightly reconciliation with a zero gap.</t>
        </is>
      </c>
      <c r="C5" s="32" t="n"/>
      <c r="D5" s="15" t="n"/>
      <c r="E5" s="15" t="n"/>
    </row>
    <row r="6" ht="30" customHeight="1">
      <c r="A6" s="12" t="n">
        <v>2</v>
      </c>
      <c r="B6" s="14" t="inlineStr">
        <is>
          <t>All 20 UAT cases passed and countersigned — with UAT-05 (manual dial) explicitly among them.</t>
        </is>
      </c>
      <c r="C6" s="32" t="n"/>
      <c r="D6" s="15" t="n"/>
      <c r="E6" s="15" t="n"/>
    </row>
    <row r="7" ht="30" customHeight="1">
      <c r="A7" s="17" t="n">
        <v>3</v>
      </c>
      <c r="B7" s="19" t="inlineStr">
        <is>
          <t>Tampered signature returns 401; replayed event returns 200 duplicate; neither creates a record.</t>
        </is>
      </c>
      <c r="C7" s="32" t="n"/>
      <c r="D7" s="15" t="n"/>
      <c r="E7" s="15" t="n"/>
    </row>
    <row r="8" ht="30" customHeight="1">
      <c r="A8" s="12" t="n">
        <v>4</v>
      </c>
      <c r="B8" s="14" t="inlineStr">
        <is>
          <t>Recording plays for a permitted user, is refused for a non-permitted user, and BOTH attempts appear in the access log.</t>
        </is>
      </c>
      <c r="C8" s="32" t="n"/>
      <c r="D8" s="15" t="n"/>
      <c r="E8" s="15" t="n"/>
    </row>
    <row r="9" ht="30" customHeight="1">
      <c r="A9" s="17" t="n">
        <v>5</v>
      </c>
      <c r="B9" s="19" t="inlineStr">
        <is>
          <t>Employee, manager and admin each see exactly their own scope — verified with three real logins.</t>
        </is>
      </c>
      <c r="C9" s="32" t="n"/>
      <c r="D9" s="15" t="n"/>
      <c r="E9" s="15" t="n"/>
    </row>
    <row r="10" ht="30" customHeight="1">
      <c r="A10" s="12" t="n">
        <v>6</v>
      </c>
      <c r="B10" s="14" t="inlineStr">
        <is>
          <t>A ten-minute HRX outage results in zero permanently lost calls.</t>
        </is>
      </c>
      <c r="C10" s="32" t="n"/>
      <c r="D10" s="15" t="n"/>
      <c r="E10" s="15" t="n"/>
    </row>
    <row r="11" ht="30" customHeight="1">
      <c r="A11" s="17" t="n">
        <v>7</v>
      </c>
      <c r="B11" s="19" t="inlineStr">
        <is>
          <t>Monitoring alerts fire correctly when deliberately triggered.</t>
        </is>
      </c>
      <c r="C11" s="32" t="n"/>
      <c r="D11" s="15" t="n"/>
      <c r="E11" s="15" t="n"/>
    </row>
    <row r="12" ht="30" customHeight="1">
      <c r="A12" s="12" t="n">
        <v>8</v>
      </c>
      <c r="B12" s="14" t="inlineStr">
        <is>
          <t>Runbook written: what to do when webhooks stop, when reconciliation shows a gap, and when a recording will not play.</t>
        </is>
      </c>
      <c r="C12" s="32" t="n"/>
      <c r="D12" s="15" t="n"/>
      <c r="E12" s="15" t="n"/>
    </row>
    <row r="14">
      <c r="B14" s="24" t="inlineStr">
        <is>
          <t>Criteria met</t>
        </is>
      </c>
      <c r="C14" s="37">
        <f>COUNTIF(C5:C12,"Yes")</f>
        <v/>
      </c>
    </row>
    <row r="15">
      <c r="B15" s="39">
        <f>IF(COUNTIF(C5:C12,"Yes")=8,"ACCEPTED — safe to go live","NOT ACCEPTED — do not go live")</f>
        <v/>
      </c>
    </row>
    <row r="18">
      <c r="B18" s="24" t="inlineStr">
        <is>
          <t>Hi Tech Group — name, signature, date</t>
        </is>
      </c>
      <c r="C18" s="40" t="n"/>
      <c r="D18" s="41" t="n"/>
      <c r="E18" s="42" t="n"/>
    </row>
    <row r="20">
      <c r="B20" s="24" t="inlineStr">
        <is>
          <t>CentroVision — name, signature, date</t>
        </is>
      </c>
      <c r="C20" s="40" t="n"/>
      <c r="D20" s="41" t="n"/>
      <c r="E20" s="42" t="n"/>
    </row>
  </sheetData>
  <mergeCells count="5">
    <mergeCell ref="A2:E2"/>
    <mergeCell ref="C18:E18"/>
    <mergeCell ref="A1:E1"/>
    <mergeCell ref="B15:D15"/>
    <mergeCell ref="C20:E20"/>
  </mergeCells>
  <dataValidations count="1">
    <dataValidation sqref="C5 C6 C7 C8 C9 C10 C11 C12"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2026-08-20T06:42:50Z</dcterms:created>
  <dcterms:modified xmlns:dcterms="http://purl.org/dc/terms/" xmlns:xsi="http://www.w3.org/2001/XMLSchema-instance" xsi:type="dcterms:W3CDTF">2026-08-20T06:42:50Z</dcterms:modified>
</cp:coreProperties>
</file>